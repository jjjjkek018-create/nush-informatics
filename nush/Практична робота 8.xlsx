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ктична робота 8" sheetId="1" r:id="rId5"/>
  </sheets>
  <definedNames/>
  <calcPr/>
</workbook>
</file>

<file path=xl/sharedStrings.xml><?xml version="1.0" encoding="utf-8"?>
<sst xmlns="http://schemas.openxmlformats.org/spreadsheetml/2006/main" count="33" uniqueCount="33">
  <si>
    <t>АРКУШ 1: Розрахунок за електроенергію</t>
  </si>
  <si>
    <t>Вартість 1 кВт·год:</t>
  </si>
  <si>
    <t>Місяць</t>
  </si>
  <si>
    <t>Показники (кВт·год)</t>
  </si>
  <si>
    <t>Щомісячна плата</t>
  </si>
  <si>
    <t>Січень</t>
  </si>
  <si>
    <t>Лютий</t>
  </si>
  <si>
    <t>Березень</t>
  </si>
  <si>
    <t>Квітень</t>
  </si>
  <si>
    <t>Травень</t>
  </si>
  <si>
    <t>Червень</t>
  </si>
  <si>
    <t>Липень</t>
  </si>
  <si>
    <t>Серпень</t>
  </si>
  <si>
    <t>Вересень</t>
  </si>
  <si>
    <t>Жовтень</t>
  </si>
  <si>
    <t>Листопад</t>
  </si>
  <si>
    <t>Грудень</t>
  </si>
  <si>
    <t>Загальна плата за рік:</t>
  </si>
  <si>
    <t>Середні щомісячні витрати:</t>
  </si>
  <si>
    <t>АРКУШ 2: Аналіз зросту учнів</t>
  </si>
  <si>
    <t>Середній зріст по класу:</t>
  </si>
  <si>
    <t>Прізвище</t>
  </si>
  <si>
    <t>Зріст (см)</t>
  </si>
  <si>
    <t>Рейтинг</t>
  </si>
  <si>
    <t>Порівняння із середнім</t>
  </si>
  <si>
    <t>Бойко</t>
  </si>
  <si>
    <t>Коваленко</t>
  </si>
  <si>
    <t>Мельник</t>
  </si>
  <si>
    <t>Шевченко</t>
  </si>
  <si>
    <t>Ткаченко</t>
  </si>
  <si>
    <t>АРКУШ 3: Функція y = √(x + 9) + x^2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</si>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</sst>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>
        <v>2.64</v>
      </c>
    </row>
    <row r="4">
      <c r="A4" s="1" t="s">
        <v>2</v>
      </c>
      <c r="B4" s="1" t="s">
        <v>3</v>
      </c>
      <c r="C4" s="1" t="s">
        <v>4</v>
      </c>
    </row>
    <row r="5">
      <c r="A5" s="1" t="s">
        <v>5</v>
      </c>
      <c r="B5" s="1">
        <v>120.0</v>
      </c>
      <c r="C5" s="2">
        <f t="shared" ref="C5:C16" si="1">B5*$B$2</f>
        <v>316.8</v>
      </c>
    </row>
    <row r="6">
      <c r="A6" s="1" t="s">
        <v>6</v>
      </c>
      <c r="B6" s="1">
        <v>115.0</v>
      </c>
      <c r="C6" s="2">
        <f t="shared" si="1"/>
        <v>303.6</v>
      </c>
    </row>
    <row r="7">
      <c r="A7" s="1" t="s">
        <v>7</v>
      </c>
      <c r="B7" s="1">
        <v>130.0</v>
      </c>
      <c r="C7" s="2">
        <f t="shared" si="1"/>
        <v>343.2</v>
      </c>
    </row>
    <row r="8">
      <c r="A8" s="1" t="s">
        <v>8</v>
      </c>
      <c r="B8" s="1">
        <v>110.0</v>
      </c>
      <c r="C8" s="2">
        <f t="shared" si="1"/>
        <v>290.4</v>
      </c>
    </row>
    <row r="9">
      <c r="A9" s="1" t="s">
        <v>9</v>
      </c>
      <c r="B9" s="1">
        <v>105.0</v>
      </c>
      <c r="C9" s="2">
        <f t="shared" si="1"/>
        <v>277.2</v>
      </c>
    </row>
    <row r="10">
      <c r="A10" s="1" t="s">
        <v>10</v>
      </c>
      <c r="B10" s="1">
        <v>90.0</v>
      </c>
      <c r="C10" s="2">
        <f t="shared" si="1"/>
        <v>237.6</v>
      </c>
    </row>
    <row r="11">
      <c r="A11" s="1" t="s">
        <v>11</v>
      </c>
      <c r="B11" s="1">
        <v>95.0</v>
      </c>
      <c r="C11" s="2">
        <f t="shared" si="1"/>
        <v>250.8</v>
      </c>
    </row>
    <row r="12">
      <c r="A12" s="1" t="s">
        <v>12</v>
      </c>
      <c r="B12" s="1">
        <v>100.0</v>
      </c>
      <c r="C12" s="2">
        <f t="shared" si="1"/>
        <v>264</v>
      </c>
    </row>
    <row r="13">
      <c r="A13" s="1" t="s">
        <v>13</v>
      </c>
      <c r="B13" s="1">
        <v>115.0</v>
      </c>
      <c r="C13" s="2">
        <f t="shared" si="1"/>
        <v>303.6</v>
      </c>
    </row>
    <row r="14">
      <c r="A14" s="1" t="s">
        <v>14</v>
      </c>
      <c r="B14" s="1">
        <v>140.0</v>
      </c>
      <c r="C14" s="2">
        <f t="shared" si="1"/>
        <v>369.6</v>
      </c>
    </row>
    <row r="15">
      <c r="A15" s="1" t="s">
        <v>15</v>
      </c>
      <c r="B15" s="1">
        <v>155.0</v>
      </c>
      <c r="C15" s="2">
        <f t="shared" si="1"/>
        <v>409.2</v>
      </c>
    </row>
    <row r="16">
      <c r="A16" s="1" t="s">
        <v>16</v>
      </c>
      <c r="B16" s="1">
        <v>160.0</v>
      </c>
      <c r="C16" s="2">
        <f t="shared" si="1"/>
        <v>422.4</v>
      </c>
    </row>
    <row r="18">
      <c r="A18" s="1" t="s">
        <v>17</v>
      </c>
      <c r="B18" s="2">
        <f>SUM(C5:C16)</f>
        <v>3788.4</v>
      </c>
    </row>
    <row r="19">
      <c r="A19" s="1" t="s">
        <v>18</v>
      </c>
      <c r="B19" s="2">
        <f>AVERAGE(B5:B16)</f>
        <v>119.5833333</v>
      </c>
    </row>
    <row r="21">
      <c r="A21" s="1" t="s">
        <v>19</v>
      </c>
    </row>
    <row r="22">
      <c r="A22" s="1" t="s">
        <v>20</v>
      </c>
      <c r="B22" s="2">
        <f>AVERAGE(B25:B29)</f>
        <v>162</v>
      </c>
    </row>
    <row r="24">
      <c r="A24" s="1" t="s">
        <v>21</v>
      </c>
      <c r="B24" s="1" t="s">
        <v>22</v>
      </c>
      <c r="C24" s="1" t="s">
        <v>23</v>
      </c>
      <c r="D24" s="1" t="s">
        <v>24</v>
      </c>
    </row>
    <row r="25">
      <c r="A25" s="1" t="s">
        <v>25</v>
      </c>
      <c r="B25" s="1">
        <v>162.0</v>
      </c>
      <c r="C25" s="2">
        <f t="shared" ref="C25:C29" si="2">RANK(B25,$B$25:$B$29,0)</f>
        <v>3</v>
      </c>
      <c r="D25" s="2" t="str">
        <f t="shared" ref="D25:D29" si="3">IF(B25&gt;$B$22,"Вище","Нижче")</f>
        <v>Нижче</v>
      </c>
    </row>
    <row r="26">
      <c r="A26" s="1" t="s">
        <v>26</v>
      </c>
      <c r="B26" s="1">
        <v>158.0</v>
      </c>
      <c r="C26" s="2">
        <f t="shared" si="2"/>
        <v>4</v>
      </c>
      <c r="D26" s="2" t="str">
        <f t="shared" si="3"/>
        <v>Нижче</v>
      </c>
    </row>
    <row r="27">
      <c r="A27" s="1" t="s">
        <v>27</v>
      </c>
      <c r="B27" s="1">
        <v>170.0</v>
      </c>
      <c r="C27" s="2">
        <f t="shared" si="2"/>
        <v>1</v>
      </c>
      <c r="D27" s="2" t="str">
        <f t="shared" si="3"/>
        <v>Вище</v>
      </c>
    </row>
    <row r="28">
      <c r="A28" s="1" t="s">
        <v>28</v>
      </c>
      <c r="B28" s="1">
        <v>165.0</v>
      </c>
      <c r="C28" s="2">
        <f t="shared" si="2"/>
        <v>2</v>
      </c>
      <c r="D28" s="2" t="str">
        <f t="shared" si="3"/>
        <v>Вище</v>
      </c>
    </row>
    <row r="29">
      <c r="A29" s="1" t="s">
        <v>29</v>
      </c>
      <c r="B29" s="1">
        <v>155.0</v>
      </c>
      <c r="C29" s="2">
        <f t="shared" si="2"/>
        <v>5</v>
      </c>
      <c r="D29" s="2" t="str">
        <f t="shared" si="3"/>
        <v>Нижче</v>
      </c>
    </row>
    <row r="31">
      <c r="A31" s="1" t="s">
        <v>30</v>
      </c>
    </row>
    <row r="32">
      <c r="A32" s="1" t="s">
        <v>31</v>
      </c>
      <c r="B32" s="1" t="s">
        <v>32</v>
      </c>
    </row>
    <row r="33">
      <c r="A33" s="1">
        <v>-3.0</v>
      </c>
      <c r="B33" s="2">
        <f t="shared" ref="B33:B39" si="4">SQRT(A33+9)+A33^2</f>
        <v>11.44948974</v>
      </c>
    </row>
    <row r="34">
      <c r="A34" s="1">
        <v>-2.0</v>
      </c>
      <c r="B34" s="2">
        <f t="shared" si="4"/>
        <v>6.645751311</v>
      </c>
    </row>
    <row r="35">
      <c r="A35" s="1">
        <v>-1.0</v>
      </c>
      <c r="B35" s="2">
        <f t="shared" si="4"/>
        <v>3.828427125</v>
      </c>
    </row>
    <row r="36">
      <c r="A36" s="1">
        <v>0.0</v>
      </c>
      <c r="B36" s="2">
        <f t="shared" si="4"/>
        <v>3</v>
      </c>
    </row>
    <row r="37">
      <c r="A37" s="1">
        <v>1.0</v>
      </c>
      <c r="B37" s="2">
        <f t="shared" si="4"/>
        <v>4.16227766</v>
      </c>
    </row>
    <row r="38">
      <c r="A38" s="1">
        <v>2.0</v>
      </c>
      <c r="B38" s="2">
        <f t="shared" si="4"/>
        <v>7.31662479</v>
      </c>
    </row>
    <row r="39">
      <c r="A39" s="1">
        <v>3.0</v>
      </c>
      <c r="B39" s="2">
        <f t="shared" si="4"/>
        <v>12.46410162</v>
      </c>
    </row>
  </sheetData>
  <drawing r:id="rId1"/>
</worksheet>
</file>